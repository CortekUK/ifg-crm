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/Desktop/"/>
    </mc:Choice>
  </mc:AlternateContent>
  <xr:revisionPtr revIDLastSave="0" documentId="13_ncr:1_{E6212B7F-D1BF-BF44-BF55-776CCC3AABD5}" xr6:coauthVersionLast="47" xr6:coauthVersionMax="47" xr10:uidLastSave="{00000000-0000-0000-0000-000000000000}"/>
  <bookViews>
    <workbookView xWindow="4500" yWindow="660" windowWidth="17240" windowHeight="16760" xr2:uid="{B3217B6C-B01C-E44A-854B-722485965513}"/>
  </bookViews>
  <sheets>
    <sheet name="Residency Structure" sheetId="1" r:id="rId1"/>
    <sheet name="Residency Finances" sheetId="2" r:id="rId2"/>
    <sheet name="PREVIOUS NUMB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2" l="1"/>
  <c r="E12" i="2"/>
  <c r="E18" i="2"/>
  <c r="E17" i="2"/>
  <c r="E16" i="2"/>
  <c r="D22" i="2"/>
  <c r="D24" i="2" s="1"/>
  <c r="C22" i="2"/>
  <c r="C24" i="2" s="1"/>
  <c r="D20" i="2"/>
  <c r="C20" i="2"/>
  <c r="D18" i="2"/>
  <c r="D17" i="2"/>
  <c r="D16" i="2"/>
  <c r="D13" i="2"/>
  <c r="C13" i="2"/>
  <c r="E13" i="2" s="1"/>
  <c r="D12" i="2"/>
  <c r="C12" i="2"/>
  <c r="G8" i="2"/>
  <c r="F8" i="2"/>
  <c r="E8" i="2"/>
  <c r="D8" i="2"/>
  <c r="C8" i="2"/>
  <c r="G7" i="2"/>
  <c r="F7" i="2"/>
  <c r="E7" i="2"/>
  <c r="D7" i="2"/>
  <c r="C7" i="2"/>
  <c r="G3" i="2"/>
  <c r="F3" i="2"/>
  <c r="E3" i="2"/>
  <c r="D3" i="2"/>
  <c r="C3" i="2"/>
  <c r="G2" i="2"/>
  <c r="F2" i="2"/>
  <c r="E2" i="2"/>
  <c r="D2" i="2"/>
  <c r="C2" i="2"/>
  <c r="E22" i="2" l="1"/>
  <c r="E24" i="2" s="1"/>
  <c r="D25" i="2"/>
  <c r="D26" i="2"/>
  <c r="D27" i="2"/>
  <c r="C25" i="2"/>
  <c r="C26" i="2"/>
  <c r="C27" i="2"/>
  <c r="E26" i="2" l="1"/>
  <c r="E25" i="2"/>
  <c r="E27" i="2"/>
</calcChain>
</file>

<file path=xl/sharedStrings.xml><?xml version="1.0" encoding="utf-8"?>
<sst xmlns="http://schemas.openxmlformats.org/spreadsheetml/2006/main" count="130" uniqueCount="76">
  <si>
    <t>Date</t>
  </si>
  <si>
    <t>Activity</t>
  </si>
  <si>
    <t xml:space="preserve">Monday June 28th </t>
  </si>
  <si>
    <t>Tuesday June 29th</t>
  </si>
  <si>
    <t>Wednesday June 30th</t>
  </si>
  <si>
    <t>Thursday July 1st</t>
  </si>
  <si>
    <t>Friday July 2nd</t>
  </si>
  <si>
    <t>Saturday July 3rd</t>
  </si>
  <si>
    <t xml:space="preserve">Sunday July 4th </t>
  </si>
  <si>
    <t>Monday July 5th</t>
  </si>
  <si>
    <t>Tuesday July 6th</t>
  </si>
  <si>
    <t>Wednesday July 7th</t>
  </si>
  <si>
    <t>Thursday July 8th</t>
  </si>
  <si>
    <t>Friday July 9th</t>
  </si>
  <si>
    <t>Saturday July 10th</t>
  </si>
  <si>
    <t>Sunday July 11th</t>
  </si>
  <si>
    <t>Monday July 12th</t>
  </si>
  <si>
    <t>BLOCK A</t>
  </si>
  <si>
    <t>BLOCK B</t>
  </si>
  <si>
    <t>Tuesday July 13th</t>
  </si>
  <si>
    <t>Wednesday July 14th</t>
  </si>
  <si>
    <t>Thursday July 15th</t>
  </si>
  <si>
    <t>Friday July 16th</t>
  </si>
  <si>
    <t>Saturday July 17th</t>
  </si>
  <si>
    <t>Sunday July 18th</t>
  </si>
  <si>
    <t>Monday July 19th</t>
  </si>
  <si>
    <t>Tuesday July 20th</t>
  </si>
  <si>
    <t>Wednesday July 21st</t>
  </si>
  <si>
    <t>Thursday July 22nd</t>
  </si>
  <si>
    <t>Friday July 23rd</t>
  </si>
  <si>
    <t>Saturday July 24th</t>
  </si>
  <si>
    <t>Sunday July 25th</t>
  </si>
  <si>
    <t>Monday July 26th</t>
  </si>
  <si>
    <t>Training</t>
  </si>
  <si>
    <t>Match-Day</t>
  </si>
  <si>
    <t>Trip / Tour</t>
  </si>
  <si>
    <t>University Tour</t>
  </si>
  <si>
    <t>Departures</t>
  </si>
  <si>
    <t>Arrivals</t>
  </si>
  <si>
    <t>Marketing</t>
  </si>
  <si>
    <t>COST</t>
  </si>
  <si>
    <t>2 WEEKS</t>
  </si>
  <si>
    <t>4 WEEKS</t>
  </si>
  <si>
    <t>DURATION</t>
  </si>
  <si>
    <t>15 PARTICIPANTS</t>
  </si>
  <si>
    <t>20 PARTICIPANTS</t>
  </si>
  <si>
    <t>30 PARTICIPANTS</t>
  </si>
  <si>
    <t>40 PARTICIPANTS</t>
  </si>
  <si>
    <t>50 PARTICIPANTS</t>
  </si>
  <si>
    <t>Breakfast</t>
  </si>
  <si>
    <t>Lunch</t>
  </si>
  <si>
    <t>Dinner</t>
  </si>
  <si>
    <t>Kit</t>
  </si>
  <si>
    <t>Trips</t>
  </si>
  <si>
    <t>Fuel / Transport</t>
  </si>
  <si>
    <t xml:space="preserve">Accommodation </t>
  </si>
  <si>
    <t>VAT</t>
  </si>
  <si>
    <t>Pitch Hire</t>
  </si>
  <si>
    <t>1 Participant Profit</t>
  </si>
  <si>
    <t>20 Participant Profit</t>
  </si>
  <si>
    <t>40 Participant Profit</t>
  </si>
  <si>
    <t>30 Participant Profit</t>
  </si>
  <si>
    <t>COPTHORNE HOTEL</t>
  </si>
  <si>
    <t>2 WEEKS (2995)</t>
  </si>
  <si>
    <t>4 WEEKS (4995)</t>
  </si>
  <si>
    <t>4 WEEKS (5495)</t>
  </si>
  <si>
    <t>Number of Parents / Guardians / Students</t>
  </si>
  <si>
    <t>Number of Players</t>
  </si>
  <si>
    <t>Gap Year Progression</t>
  </si>
  <si>
    <t>University Progression</t>
  </si>
  <si>
    <t>TOTAL INCOMING</t>
  </si>
  <si>
    <t>TOO YOUNG</t>
  </si>
  <si>
    <t>Number of 2 Week Players</t>
  </si>
  <si>
    <t>Number of 4 Week Players</t>
  </si>
  <si>
    <t>Number of 6 Week Players</t>
  </si>
  <si>
    <t>Number of 3 Week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</si>
</sst>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£-809]* #,##0.00_-;\-[$£-809]* #,##0.00_-;_-[$£-809]* &quot;-&quot;??_-;_-@_-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0" xfId="0" applyNumberFormat="1"/>
    <xf numFmtId="164" fontId="0" fillId="0" borderId="12" xfId="0" applyNumberFormat="1" applyBorder="1"/>
    <xf numFmtId="164" fontId="0" fillId="0" borderId="14" xfId="0" applyNumberFormat="1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2" fillId="2" borderId="13" xfId="0" applyFont="1" applyFill="1" applyBorder="1" applyAlignment="1">
      <alignment horizontal="center"/>
    </xf>
    <xf numFmtId="164" fontId="2" fillId="3" borderId="1" xfId="0" applyNumberFormat="1" applyFont="1" applyFill="1" applyBorder="1"/>
    <xf numFmtId="164" fontId="0" fillId="0" borderId="11" xfId="0" applyNumberFormat="1" applyBorder="1"/>
    <xf numFmtId="164" fontId="0" fillId="0" borderId="4" xfId="0" applyNumberFormat="1" applyBorder="1"/>
    <xf numFmtId="164" fontId="0" fillId="0" borderId="6" xfId="0" applyNumberForma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0" fillId="0" borderId="0" xfId="1" applyNumberFormat="1" applyFont="1" applyBorder="1"/>
    <xf numFmtId="164" fontId="0" fillId="0" borderId="12" xfId="1" applyNumberFormat="1" applyFont="1" applyBorder="1"/>
    <xf numFmtId="0" fontId="4" fillId="0" borderId="11" xfId="0" applyFont="1" applyBorder="1" applyAlignment="1">
      <alignment horizontal="center"/>
    </xf>
    <xf numFmtId="164" fontId="0" fillId="0" borderId="7" xfId="1" applyNumberFormat="1" applyFont="1" applyBorder="1"/>
    <xf numFmtId="164" fontId="0" fillId="0" borderId="3" xfId="0" applyNumberFormat="1" applyBorder="1"/>
    <xf numFmtId="0" fontId="4" fillId="0" borderId="4" xfId="0" applyFont="1" applyBorder="1" applyAlignment="1">
      <alignment horizontal="center"/>
    </xf>
    <xf numFmtId="164" fontId="0" fillId="0" borderId="8" xfId="1" applyNumberFormat="1" applyFont="1" applyBorder="1"/>
    <xf numFmtId="164" fontId="0" fillId="0" borderId="5" xfId="1" applyNumberFormat="1" applyFont="1" applyBorder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0" fillId="0" borderId="15" xfId="0" applyNumberFormat="1" applyBorder="1"/>
    <xf numFmtId="0" fontId="3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0" fillId="0" borderId="2" xfId="0" applyNumberFormat="1" applyBorder="1"/>
    <xf numFmtId="164" fontId="2" fillId="0" borderId="0" xfId="0" applyNumberFormat="1" applyFont="1"/>
    <xf numFmtId="0" fontId="3" fillId="0" borderId="0" xfId="0" applyFont="1"/>
    <xf numFmtId="164" fontId="0" fillId="0" borderId="0" xfId="1" applyNumberFormat="1" applyFont="1" applyFill="1" applyBorder="1"/>
    <xf numFmtId="164" fontId="0" fillId="0" borderId="0" xfId="0" applyNumberFormat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2" fillId="0" borderId="1" xfId="0" applyFont="1" applyBorder="1"/>
    <xf numFmtId="164" fontId="2" fillId="0" borderId="1" xfId="0" applyNumberFormat="1" applyFont="1" applyBorder="1"/>
    <xf numFmtId="0" fontId="0" fillId="0" borderId="1" xfId="0" applyBorder="1" applyAlignment="1">
      <alignment horizontal="center"/>
    </xf>
    <xf numFmtId="0" fontId="3" fillId="0" borderId="8" xfId="0" applyFont="1" applyBorder="1"/>
    <xf numFmtId="0" fontId="3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13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03EA-A85F-3D43-82A1-F8D161E2E7F8}">
  <dimension ref="A1:E17"/>
  <sheetViews>
    <sheetView tabSelected="1" zoomScale="120" zoomScaleNormal="120" workbookViewId="0">
      <selection activeCell="C31" sqref="C31"/>
    </sheetView>
  </sheetViews>
  <sheetFormatPr baseColWidth="10" defaultRowHeight="16" x14ac:dyDescent="0.2"/>
  <cols>
    <col min="1" max="1" width="18.6640625" bestFit="1" customWidth="1"/>
    <col min="2" max="2" width="13" style="1" bestFit="1" customWidth="1"/>
    <col min="3" max="3" width="13" style="1" customWidth="1"/>
    <col min="4" max="4" width="18" bestFit="1" customWidth="1"/>
    <col min="5" max="5" width="13" bestFit="1" customWidth="1"/>
  </cols>
  <sheetData>
    <row r="1" spans="1:5" ht="17" thickBot="1" x14ac:dyDescent="0.25">
      <c r="A1" s="5" t="s">
        <v>0</v>
      </c>
      <c r="B1" s="5" t="s">
        <v>1</v>
      </c>
      <c r="C1" s="58"/>
      <c r="D1" s="5" t="s">
        <v>0</v>
      </c>
      <c r="E1" s="5" t="s">
        <v>1</v>
      </c>
    </row>
    <row r="2" spans="1:5" ht="17" thickBot="1" x14ac:dyDescent="0.25">
      <c r="A2" s="54" t="s">
        <v>17</v>
      </c>
      <c r="B2" s="55"/>
      <c r="C2" s="59"/>
      <c r="D2" s="56" t="s">
        <v>18</v>
      </c>
      <c r="E2" s="57"/>
    </row>
    <row r="3" spans="1:5" x14ac:dyDescent="0.2">
      <c r="A3" s="8" t="s">
        <v>2</v>
      </c>
      <c r="B3" s="2" t="s">
        <v>38</v>
      </c>
      <c r="C3" s="59"/>
      <c r="D3" s="8" t="s">
        <v>16</v>
      </c>
      <c r="E3" s="2" t="s">
        <v>38</v>
      </c>
    </row>
    <row r="4" spans="1:5" x14ac:dyDescent="0.2">
      <c r="A4" s="9" t="s">
        <v>3</v>
      </c>
      <c r="B4" s="3" t="s">
        <v>33</v>
      </c>
      <c r="C4" s="59"/>
      <c r="D4" s="9" t="s">
        <v>19</v>
      </c>
      <c r="E4" s="3" t="s">
        <v>33</v>
      </c>
    </row>
    <row r="5" spans="1:5" x14ac:dyDescent="0.2">
      <c r="A5" s="9" t="s">
        <v>4</v>
      </c>
      <c r="B5" s="3" t="s">
        <v>33</v>
      </c>
      <c r="C5" s="59"/>
      <c r="D5" s="9" t="s">
        <v>20</v>
      </c>
      <c r="E5" s="3" t="s">
        <v>33</v>
      </c>
    </row>
    <row r="6" spans="1:5" x14ac:dyDescent="0.2">
      <c r="A6" s="9" t="s">
        <v>5</v>
      </c>
      <c r="B6" s="3" t="s">
        <v>33</v>
      </c>
      <c r="C6" s="59"/>
      <c r="D6" s="9" t="s">
        <v>21</v>
      </c>
      <c r="E6" s="3" t="s">
        <v>33</v>
      </c>
    </row>
    <row r="7" spans="1:5" x14ac:dyDescent="0.2">
      <c r="A7" s="9" t="s">
        <v>6</v>
      </c>
      <c r="B7" s="3" t="s">
        <v>33</v>
      </c>
      <c r="C7" s="59"/>
      <c r="D7" s="9" t="s">
        <v>22</v>
      </c>
      <c r="E7" s="3" t="s">
        <v>33</v>
      </c>
    </row>
    <row r="8" spans="1:5" x14ac:dyDescent="0.2">
      <c r="A8" s="9" t="s">
        <v>7</v>
      </c>
      <c r="B8" s="3" t="s">
        <v>34</v>
      </c>
      <c r="C8" s="59"/>
      <c r="D8" s="9" t="s">
        <v>23</v>
      </c>
      <c r="E8" s="3" t="s">
        <v>34</v>
      </c>
    </row>
    <row r="9" spans="1:5" x14ac:dyDescent="0.2">
      <c r="A9" s="9" t="s">
        <v>8</v>
      </c>
      <c r="B9" s="3" t="s">
        <v>35</v>
      </c>
      <c r="C9" s="59"/>
      <c r="D9" s="9" t="s">
        <v>24</v>
      </c>
      <c r="E9" s="3" t="s">
        <v>35</v>
      </c>
    </row>
    <row r="10" spans="1:5" x14ac:dyDescent="0.2">
      <c r="A10" s="9" t="s">
        <v>9</v>
      </c>
      <c r="B10" s="3" t="s">
        <v>33</v>
      </c>
      <c r="C10" s="59"/>
      <c r="D10" s="9" t="s">
        <v>25</v>
      </c>
      <c r="E10" s="3" t="s">
        <v>33</v>
      </c>
    </row>
    <row r="11" spans="1:5" x14ac:dyDescent="0.2">
      <c r="A11" s="9" t="s">
        <v>10</v>
      </c>
      <c r="B11" s="3" t="s">
        <v>33</v>
      </c>
      <c r="C11" s="59"/>
      <c r="D11" s="9" t="s">
        <v>26</v>
      </c>
      <c r="E11" s="3" t="s">
        <v>33</v>
      </c>
    </row>
    <row r="12" spans="1:5" x14ac:dyDescent="0.2">
      <c r="A12" s="9" t="s">
        <v>11</v>
      </c>
      <c r="B12" s="3" t="s">
        <v>34</v>
      </c>
      <c r="C12" s="59"/>
      <c r="D12" s="9" t="s">
        <v>27</v>
      </c>
      <c r="E12" s="3" t="s">
        <v>34</v>
      </c>
    </row>
    <row r="13" spans="1:5" x14ac:dyDescent="0.2">
      <c r="A13" s="9" t="s">
        <v>12</v>
      </c>
      <c r="B13" s="3" t="s">
        <v>36</v>
      </c>
      <c r="C13" s="59"/>
      <c r="D13" s="9" t="s">
        <v>28</v>
      </c>
      <c r="E13" s="3" t="s">
        <v>36</v>
      </c>
    </row>
    <row r="14" spans="1:5" x14ac:dyDescent="0.2">
      <c r="A14" s="9" t="s">
        <v>13</v>
      </c>
      <c r="B14" s="3" t="s">
        <v>33</v>
      </c>
      <c r="C14" s="59"/>
      <c r="D14" s="9" t="s">
        <v>29</v>
      </c>
      <c r="E14" s="3" t="s">
        <v>33</v>
      </c>
    </row>
    <row r="15" spans="1:5" x14ac:dyDescent="0.2">
      <c r="A15" s="9" t="s">
        <v>14</v>
      </c>
      <c r="B15" s="3" t="s">
        <v>34</v>
      </c>
      <c r="C15" s="59"/>
      <c r="D15" s="9" t="s">
        <v>30</v>
      </c>
      <c r="E15" s="3" t="s">
        <v>34</v>
      </c>
    </row>
    <row r="16" spans="1:5" x14ac:dyDescent="0.2">
      <c r="A16" s="9" t="s">
        <v>15</v>
      </c>
      <c r="B16" s="3" t="s">
        <v>35</v>
      </c>
      <c r="C16" s="59"/>
      <c r="D16" s="9" t="s">
        <v>31</v>
      </c>
      <c r="E16" s="3" t="s">
        <v>35</v>
      </c>
    </row>
    <row r="17" spans="1:5" ht="17" thickBot="1" x14ac:dyDescent="0.25">
      <c r="A17" s="10" t="s">
        <v>16</v>
      </c>
      <c r="B17" s="4" t="s">
        <v>37</v>
      </c>
      <c r="C17" s="60"/>
      <c r="D17" s="10" t="s">
        <v>32</v>
      </c>
      <c r="E17" s="4" t="s">
        <v>37</v>
      </c>
    </row>
  </sheetData>
  <mergeCells count="3">
    <mergeCell ref="A2:B2"/>
    <mergeCell ref="D2:E2"/>
    <mergeCell ref="C1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C16A-C6CC-FA47-A9DD-8C9A27AA9C1C}">
  <dimension ref="A1:L46"/>
  <sheetViews>
    <sheetView zoomScaleNormal="100" workbookViewId="0">
      <selection activeCell="G15" sqref="G15"/>
    </sheetView>
  </sheetViews>
  <sheetFormatPr baseColWidth="10" defaultRowHeight="16" x14ac:dyDescent="0.2"/>
  <cols>
    <col min="1" max="1" width="14.6640625" bestFit="1" customWidth="1"/>
    <col min="2" max="2" width="17.5" bestFit="1" customWidth="1"/>
    <col min="3" max="6" width="15.6640625" bestFit="1" customWidth="1"/>
    <col min="7" max="7" width="17.5" bestFit="1" customWidth="1"/>
    <col min="8" max="8" width="14" bestFit="1" customWidth="1"/>
    <col min="9" max="9" width="17.5" bestFit="1" customWidth="1"/>
    <col min="10" max="11" width="10.5" bestFit="1" customWidth="1"/>
    <col min="12" max="12" width="13.83203125" bestFit="1" customWidth="1"/>
  </cols>
  <sheetData>
    <row r="1" spans="1:12" ht="17" thickBot="1" x14ac:dyDescent="0.25">
      <c r="A1" s="6" t="s">
        <v>43</v>
      </c>
      <c r="B1" s="5" t="s">
        <v>40</v>
      </c>
      <c r="C1" s="17" t="s">
        <v>44</v>
      </c>
      <c r="D1" s="5" t="s">
        <v>45</v>
      </c>
      <c r="E1" s="7" t="s">
        <v>46</v>
      </c>
      <c r="F1" s="5" t="s">
        <v>47</v>
      </c>
      <c r="G1" s="7" t="s">
        <v>48</v>
      </c>
      <c r="I1" s="33"/>
      <c r="J1" s="11"/>
      <c r="K1" s="11"/>
      <c r="L1" s="23"/>
    </row>
    <row r="2" spans="1:12" x14ac:dyDescent="0.2">
      <c r="A2" s="9" t="s">
        <v>41</v>
      </c>
      <c r="B2" s="15">
        <v>2995</v>
      </c>
      <c r="C2" s="11">
        <f>B2*15</f>
        <v>44925</v>
      </c>
      <c r="D2" s="15">
        <f>B2*20</f>
        <v>59900</v>
      </c>
      <c r="E2" s="12">
        <f>B2*30</f>
        <v>89850</v>
      </c>
      <c r="F2" s="19">
        <f>B2*40</f>
        <v>119800</v>
      </c>
      <c r="G2" s="21">
        <f>B2*50</f>
        <v>149750</v>
      </c>
      <c r="I2" s="33"/>
      <c r="J2" s="11"/>
      <c r="K2" s="11"/>
      <c r="L2" s="1"/>
    </row>
    <row r="3" spans="1:12" ht="17" thickBot="1" x14ac:dyDescent="0.25">
      <c r="A3" s="10" t="s">
        <v>42</v>
      </c>
      <c r="B3" s="16">
        <v>5495</v>
      </c>
      <c r="C3" s="13">
        <f>B3*15</f>
        <v>82425</v>
      </c>
      <c r="D3" s="16">
        <f>B3*20</f>
        <v>109900</v>
      </c>
      <c r="E3" s="14">
        <f>B3*30</f>
        <v>164850</v>
      </c>
      <c r="F3" s="20">
        <f>B3*40</f>
        <v>219800</v>
      </c>
      <c r="G3" s="16">
        <f>B3*50</f>
        <v>274750</v>
      </c>
      <c r="I3" s="33"/>
      <c r="J3" s="11"/>
      <c r="K3" s="11"/>
      <c r="L3" s="11"/>
    </row>
    <row r="4" spans="1:12" x14ac:dyDescent="0.2">
      <c r="I4" s="33"/>
      <c r="J4" s="11"/>
      <c r="K4" s="11"/>
      <c r="L4" s="11"/>
    </row>
    <row r="5" spans="1:12" ht="17" thickBot="1" x14ac:dyDescent="0.25">
      <c r="I5" s="33"/>
      <c r="J5" s="11"/>
      <c r="K5" s="11"/>
    </row>
    <row r="6" spans="1:12" ht="17" thickBot="1" x14ac:dyDescent="0.25">
      <c r="A6" s="6" t="s">
        <v>43</v>
      </c>
      <c r="B6" s="5" t="s">
        <v>40</v>
      </c>
      <c r="C6" s="17" t="s">
        <v>44</v>
      </c>
      <c r="D6" s="5" t="s">
        <v>45</v>
      </c>
      <c r="E6" s="7" t="s">
        <v>46</v>
      </c>
      <c r="F6" s="5" t="s">
        <v>47</v>
      </c>
      <c r="G6" s="7" t="s">
        <v>48</v>
      </c>
      <c r="I6" s="40"/>
      <c r="J6" s="40"/>
      <c r="K6" s="39"/>
      <c r="L6" s="39"/>
    </row>
    <row r="7" spans="1:12" x14ac:dyDescent="0.2">
      <c r="A7" s="8" t="s">
        <v>41</v>
      </c>
      <c r="B7" s="21">
        <v>3500</v>
      </c>
      <c r="C7" s="35">
        <f>B7*15</f>
        <v>52500</v>
      </c>
      <c r="D7" s="21">
        <f>B7*20</f>
        <v>70000</v>
      </c>
      <c r="E7" s="29">
        <f>B7*30</f>
        <v>105000</v>
      </c>
      <c r="F7" s="38">
        <f>B7*40</f>
        <v>140000</v>
      </c>
      <c r="G7" s="21">
        <f>B7*50</f>
        <v>175000</v>
      </c>
    </row>
    <row r="8" spans="1:12" ht="17" thickBot="1" x14ac:dyDescent="0.25">
      <c r="A8" s="10" t="s">
        <v>42</v>
      </c>
      <c r="B8" s="16">
        <v>6000</v>
      </c>
      <c r="C8" s="13">
        <f>B8*15</f>
        <v>90000</v>
      </c>
      <c r="D8" s="16">
        <f>B8*20</f>
        <v>120000</v>
      </c>
      <c r="E8" s="14">
        <f>B8*30</f>
        <v>180000</v>
      </c>
      <c r="F8" s="20">
        <f>B8*40</f>
        <v>240000</v>
      </c>
      <c r="G8" s="16">
        <f>B8*50</f>
        <v>300000</v>
      </c>
    </row>
    <row r="9" spans="1:12" x14ac:dyDescent="0.2">
      <c r="A9" s="22"/>
      <c r="B9" s="22"/>
      <c r="C9" s="22"/>
      <c r="D9" s="22"/>
      <c r="E9" s="22"/>
      <c r="F9" s="22"/>
      <c r="G9" s="22"/>
    </row>
    <row r="10" spans="1:12" ht="17" thickBot="1" x14ac:dyDescent="0.25"/>
    <row r="11" spans="1:12" ht="17" thickBot="1" x14ac:dyDescent="0.25">
      <c r="A11" s="56" t="s">
        <v>62</v>
      </c>
      <c r="B11" s="61"/>
      <c r="C11" s="5" t="s">
        <v>63</v>
      </c>
      <c r="D11" s="5" t="s">
        <v>64</v>
      </c>
      <c r="E11" s="5" t="s">
        <v>65</v>
      </c>
      <c r="F11" s="23"/>
      <c r="G11" s="23"/>
      <c r="H11" s="22"/>
      <c r="I11" s="22"/>
    </row>
    <row r="12" spans="1:12" x14ac:dyDescent="0.2">
      <c r="A12" s="8" t="s">
        <v>55</v>
      </c>
      <c r="B12" s="21">
        <v>50</v>
      </c>
      <c r="C12" s="29">
        <f>B12*14</f>
        <v>700</v>
      </c>
      <c r="D12" s="21">
        <f>B12*28</f>
        <v>1400</v>
      </c>
      <c r="E12" s="21">
        <f>B12*28</f>
        <v>1400</v>
      </c>
      <c r="F12" s="1"/>
      <c r="G12" s="11"/>
      <c r="H12" s="11"/>
      <c r="I12" s="11"/>
    </row>
    <row r="13" spans="1:12" x14ac:dyDescent="0.2">
      <c r="A13" s="9" t="s">
        <v>39</v>
      </c>
      <c r="B13" s="28">
        <v>200</v>
      </c>
      <c r="C13" s="26">
        <f>B13</f>
        <v>200</v>
      </c>
      <c r="D13" s="15">
        <f>B13</f>
        <v>200</v>
      </c>
      <c r="E13" s="15">
        <f>C13</f>
        <v>200</v>
      </c>
      <c r="F13" s="1"/>
      <c r="G13" s="41"/>
      <c r="H13" s="41"/>
      <c r="I13" s="11"/>
    </row>
    <row r="14" spans="1:12" x14ac:dyDescent="0.2">
      <c r="A14" s="9" t="s">
        <v>57</v>
      </c>
      <c r="B14" s="28">
        <v>0</v>
      </c>
      <c r="C14" s="26">
        <v>75</v>
      </c>
      <c r="D14" s="15">
        <v>150</v>
      </c>
      <c r="E14" s="15">
        <v>150</v>
      </c>
      <c r="F14" s="1"/>
      <c r="G14" s="43"/>
      <c r="H14" s="43"/>
      <c r="I14" s="42"/>
      <c r="J14" s="1"/>
    </row>
    <row r="15" spans="1:12" x14ac:dyDescent="0.2">
      <c r="A15" s="9" t="s">
        <v>56</v>
      </c>
      <c r="B15" s="28">
        <v>0</v>
      </c>
      <c r="C15" s="26">
        <v>499.17</v>
      </c>
      <c r="D15" s="15">
        <v>832.5</v>
      </c>
      <c r="E15" s="15">
        <v>915.83</v>
      </c>
      <c r="F15" s="1"/>
      <c r="G15" s="41"/>
      <c r="H15" s="41"/>
      <c r="I15" s="11"/>
    </row>
    <row r="16" spans="1:12" x14ac:dyDescent="0.2">
      <c r="A16" s="9" t="s">
        <v>54</v>
      </c>
      <c r="B16" s="28">
        <v>100</v>
      </c>
      <c r="C16" s="26">
        <v>100</v>
      </c>
      <c r="D16" s="15">
        <f>B16*2</f>
        <v>200</v>
      </c>
      <c r="E16" s="15">
        <f>C16*2</f>
        <v>200</v>
      </c>
      <c r="F16" s="1"/>
      <c r="G16" s="41"/>
      <c r="H16" s="41"/>
      <c r="I16" s="11"/>
    </row>
    <row r="17" spans="1:9" x14ac:dyDescent="0.2">
      <c r="A17" s="9" t="s">
        <v>53</v>
      </c>
      <c r="B17" s="28">
        <v>100</v>
      </c>
      <c r="C17" s="26">
        <v>100</v>
      </c>
      <c r="D17" s="15">
        <f>B17*2</f>
        <v>200</v>
      </c>
      <c r="E17" s="15">
        <f>C17*2</f>
        <v>200</v>
      </c>
      <c r="F17" s="1"/>
      <c r="G17" s="41"/>
      <c r="H17" s="41"/>
      <c r="I17" s="11"/>
    </row>
    <row r="18" spans="1:9" x14ac:dyDescent="0.2">
      <c r="A18" s="9" t="s">
        <v>52</v>
      </c>
      <c r="B18" s="28">
        <v>200</v>
      </c>
      <c r="C18" s="26">
        <v>200</v>
      </c>
      <c r="D18" s="15">
        <f>B18</f>
        <v>200</v>
      </c>
      <c r="E18" s="15">
        <f>C18</f>
        <v>200</v>
      </c>
      <c r="F18" s="1"/>
      <c r="G18" s="41"/>
      <c r="H18" s="41"/>
      <c r="I18" s="11"/>
    </row>
    <row r="19" spans="1:9" x14ac:dyDescent="0.2">
      <c r="A19" s="27" t="s">
        <v>49</v>
      </c>
      <c r="B19" s="28">
        <v>0</v>
      </c>
      <c r="C19" s="26">
        <v>0</v>
      </c>
      <c r="D19" s="15">
        <v>0</v>
      </c>
      <c r="E19" s="15">
        <v>0</v>
      </c>
      <c r="F19" s="24"/>
      <c r="G19" s="41"/>
      <c r="H19" s="41"/>
      <c r="I19" s="11"/>
    </row>
    <row r="20" spans="1:9" x14ac:dyDescent="0.2">
      <c r="A20" s="27" t="s">
        <v>50</v>
      </c>
      <c r="B20" s="28">
        <v>7</v>
      </c>
      <c r="C20" s="26">
        <f>B20*14</f>
        <v>98</v>
      </c>
      <c r="D20" s="15">
        <f>B20*28</f>
        <v>196</v>
      </c>
      <c r="E20" s="15">
        <f>B20*28</f>
        <v>196</v>
      </c>
      <c r="F20" s="24"/>
      <c r="G20" s="41"/>
      <c r="H20" s="41"/>
      <c r="I20" s="11"/>
    </row>
    <row r="21" spans="1:9" ht="17" thickBot="1" x14ac:dyDescent="0.25">
      <c r="A21" s="30" t="s">
        <v>51</v>
      </c>
      <c r="B21" s="31">
        <v>0</v>
      </c>
      <c r="C21" s="32">
        <v>0</v>
      </c>
      <c r="D21" s="16">
        <v>0</v>
      </c>
      <c r="E21" s="16">
        <v>0</v>
      </c>
      <c r="F21" s="24"/>
      <c r="G21" s="41"/>
      <c r="H21" s="41"/>
      <c r="I21" s="11"/>
    </row>
    <row r="22" spans="1:9" ht="17" thickBot="1" x14ac:dyDescent="0.25">
      <c r="B22" s="25"/>
      <c r="C22" s="18">
        <f>SUM(C11:C21)</f>
        <v>1972.17</v>
      </c>
      <c r="D22" s="18">
        <f>SUM(D11:D21)</f>
        <v>3378.5</v>
      </c>
      <c r="E22" s="18">
        <f>SUM(E11:E21)</f>
        <v>3461.83</v>
      </c>
      <c r="G22" s="41"/>
      <c r="H22" s="39"/>
      <c r="I22" s="39"/>
    </row>
    <row r="23" spans="1:9" ht="17" thickBot="1" x14ac:dyDescent="0.25">
      <c r="B23" s="25"/>
      <c r="C23" s="11"/>
      <c r="D23" s="11"/>
      <c r="G23" s="41"/>
      <c r="H23" s="11"/>
      <c r="I23" s="11"/>
    </row>
    <row r="24" spans="1:9" x14ac:dyDescent="0.2">
      <c r="B24" s="34" t="s">
        <v>58</v>
      </c>
      <c r="C24" s="21">
        <f>2995-C22</f>
        <v>1022.8299999999999</v>
      </c>
      <c r="D24" s="29">
        <f>4995-D22</f>
        <v>1616.5</v>
      </c>
      <c r="E24" s="21">
        <f>5495-E22</f>
        <v>2033.17</v>
      </c>
      <c r="G24" s="33"/>
      <c r="H24" s="11"/>
      <c r="I24" s="11"/>
    </row>
    <row r="25" spans="1:9" x14ac:dyDescent="0.2">
      <c r="B25" s="36" t="s">
        <v>59</v>
      </c>
      <c r="C25" s="15">
        <f>C24*20</f>
        <v>20456.599999999999</v>
      </c>
      <c r="D25" s="12">
        <f>D24*20</f>
        <v>32330</v>
      </c>
      <c r="E25" s="15">
        <f>E24*20</f>
        <v>40663.4</v>
      </c>
      <c r="G25" s="33"/>
      <c r="H25" s="11"/>
      <c r="I25" s="11"/>
    </row>
    <row r="26" spans="1:9" x14ac:dyDescent="0.2">
      <c r="B26" s="36" t="s">
        <v>61</v>
      </c>
      <c r="C26" s="15">
        <f>C24*30</f>
        <v>30684.899999999998</v>
      </c>
      <c r="D26" s="12">
        <f>D24*30</f>
        <v>48495</v>
      </c>
      <c r="E26" s="15">
        <f>E24*30</f>
        <v>60995.100000000006</v>
      </c>
      <c r="G26" s="33"/>
      <c r="H26" s="11"/>
      <c r="I26" s="11"/>
    </row>
    <row r="27" spans="1:9" ht="17" thickBot="1" x14ac:dyDescent="0.25">
      <c r="B27" s="37" t="s">
        <v>60</v>
      </c>
      <c r="C27" s="16">
        <f>C24*40</f>
        <v>40913.199999999997</v>
      </c>
      <c r="D27" s="14">
        <f>D24*40</f>
        <v>64660</v>
      </c>
      <c r="E27" s="16">
        <f>E24*40</f>
        <v>81326.8</v>
      </c>
      <c r="G27" s="33"/>
      <c r="H27" s="11"/>
      <c r="I27" s="11"/>
    </row>
    <row r="29" spans="1:9" x14ac:dyDescent="0.2">
      <c r="B29" s="11"/>
    </row>
    <row r="30" spans="1:9" x14ac:dyDescent="0.2">
      <c r="A30" s="33"/>
      <c r="B30" s="11"/>
      <c r="C30" s="11"/>
      <c r="D30" s="23"/>
      <c r="E30" s="23"/>
    </row>
    <row r="31" spans="1:9" x14ac:dyDescent="0.2">
      <c r="A31" s="33"/>
      <c r="B31" s="11"/>
      <c r="C31" s="11"/>
      <c r="D31" s="23"/>
    </row>
    <row r="32" spans="1:9" x14ac:dyDescent="0.2">
      <c r="A32" s="33"/>
      <c r="B32" s="11"/>
      <c r="C32" s="11"/>
      <c r="D32" s="23"/>
    </row>
    <row r="33" spans="1:9" x14ac:dyDescent="0.2">
      <c r="A33" s="33"/>
      <c r="B33" s="11"/>
      <c r="C33" s="11"/>
      <c r="D33" s="23"/>
    </row>
    <row r="34" spans="1:9" x14ac:dyDescent="0.2">
      <c r="A34" s="23"/>
      <c r="B34" s="23"/>
      <c r="C34" s="23"/>
      <c r="D34" s="23"/>
    </row>
    <row r="35" spans="1:9" x14ac:dyDescent="0.2">
      <c r="A35" s="23"/>
      <c r="B35" s="23"/>
      <c r="C35" s="23"/>
      <c r="D35" s="23"/>
    </row>
    <row r="36" spans="1:9" x14ac:dyDescent="0.2">
      <c r="A36" s="23"/>
      <c r="B36" s="23"/>
      <c r="C36" s="23"/>
      <c r="D36" s="23"/>
    </row>
    <row r="37" spans="1:9" x14ac:dyDescent="0.2">
      <c r="A37" s="23"/>
      <c r="B37" s="23"/>
      <c r="C37" s="23"/>
      <c r="D37" s="23"/>
    </row>
    <row r="38" spans="1:9" x14ac:dyDescent="0.2">
      <c r="A38" s="23"/>
      <c r="B38" s="23"/>
      <c r="C38" s="23"/>
      <c r="D38" s="23"/>
    </row>
    <row r="39" spans="1:9" x14ac:dyDescent="0.2">
      <c r="A39" s="23"/>
      <c r="B39" s="23"/>
      <c r="C39" s="23"/>
      <c r="D39" s="23"/>
    </row>
    <row r="40" spans="1:9" x14ac:dyDescent="0.2">
      <c r="A40" s="23"/>
      <c r="B40" s="23"/>
      <c r="C40" s="23"/>
      <c r="D40" s="23"/>
    </row>
    <row r="41" spans="1:9" x14ac:dyDescent="0.2">
      <c r="A41" s="23"/>
      <c r="B41" s="23"/>
      <c r="C41" s="23"/>
      <c r="D41" s="23"/>
    </row>
    <row r="42" spans="1:9" x14ac:dyDescent="0.2">
      <c r="A42" s="23"/>
      <c r="B42" s="23"/>
      <c r="C42" s="23"/>
      <c r="D42" s="23"/>
      <c r="G42" s="25"/>
      <c r="H42" s="11"/>
      <c r="I42" s="11"/>
    </row>
    <row r="43" spans="1:9" x14ac:dyDescent="0.2">
      <c r="A43" s="23"/>
      <c r="B43" s="23"/>
      <c r="C43" s="23"/>
      <c r="D43" s="23"/>
      <c r="G43" s="33"/>
      <c r="H43" s="11"/>
      <c r="I43" s="11"/>
    </row>
    <row r="44" spans="1:9" x14ac:dyDescent="0.2">
      <c r="A44" s="23"/>
      <c r="B44" s="23"/>
      <c r="C44" s="23"/>
      <c r="D44" s="23"/>
      <c r="E44" s="11"/>
      <c r="G44" s="33"/>
      <c r="H44" s="11"/>
      <c r="I44" s="11"/>
    </row>
    <row r="45" spans="1:9" x14ac:dyDescent="0.2">
      <c r="A45" s="23"/>
      <c r="B45" s="23"/>
      <c r="C45" s="23"/>
      <c r="D45" s="23"/>
      <c r="G45" s="33"/>
      <c r="H45" s="11"/>
      <c r="I45" s="11"/>
    </row>
    <row r="46" spans="1:9" x14ac:dyDescent="0.2">
      <c r="A46" s="23"/>
      <c r="B46" s="23"/>
      <c r="C46" s="23"/>
      <c r="D46" s="23"/>
      <c r="G46" s="33"/>
      <c r="H46" s="11"/>
      <c r="I46" s="11"/>
    </row>
  </sheetData>
  <mergeCells count="1">
    <mergeCell ref="A11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C0EA-EE87-5F40-AB65-8AA2176D6133}">
  <dimension ref="A1:C33"/>
  <sheetViews>
    <sheetView workbookViewId="0">
      <selection activeCell="E27" sqref="E27"/>
    </sheetView>
  </sheetViews>
  <sheetFormatPr baseColWidth="10" defaultRowHeight="16" x14ac:dyDescent="0.2"/>
  <cols>
    <col min="1" max="1" width="34.83203125" bestFit="1" customWidth="1"/>
    <col min="2" max="2" width="12.5" bestFit="1" customWidth="1"/>
  </cols>
  <sheetData>
    <row r="1" spans="1:2" ht="17" thickBot="1" x14ac:dyDescent="0.25">
      <c r="A1" s="52">
        <v>2024</v>
      </c>
      <c r="B1" s="53"/>
    </row>
    <row r="2" spans="1:2" ht="17" thickBot="1" x14ac:dyDescent="0.25">
      <c r="A2" s="46" t="s">
        <v>67</v>
      </c>
      <c r="B2" s="49">
        <v>36</v>
      </c>
    </row>
    <row r="3" spans="1:2" ht="17" thickBot="1" x14ac:dyDescent="0.25">
      <c r="A3" s="44" t="s">
        <v>66</v>
      </c>
      <c r="B3" s="3">
        <v>9</v>
      </c>
    </row>
    <row r="4" spans="1:2" ht="17" thickBot="1" x14ac:dyDescent="0.25">
      <c r="A4" s="46" t="s">
        <v>68</v>
      </c>
      <c r="B4" s="49">
        <v>6</v>
      </c>
    </row>
    <row r="5" spans="1:2" ht="17" thickBot="1" x14ac:dyDescent="0.25">
      <c r="A5" s="45" t="s">
        <v>69</v>
      </c>
      <c r="B5" s="4">
        <v>10</v>
      </c>
    </row>
    <row r="6" spans="1:2" ht="17" thickBot="1" x14ac:dyDescent="0.25">
      <c r="A6" s="45" t="s">
        <v>72</v>
      </c>
      <c r="B6" s="4">
        <v>23</v>
      </c>
    </row>
    <row r="7" spans="1:2" ht="17" thickBot="1" x14ac:dyDescent="0.25">
      <c r="A7" s="45" t="s">
        <v>75</v>
      </c>
      <c r="B7" s="4">
        <v>1</v>
      </c>
    </row>
    <row r="8" spans="1:2" ht="17" thickBot="1" x14ac:dyDescent="0.25">
      <c r="A8" s="45" t="s">
        <v>73</v>
      </c>
      <c r="B8" s="4">
        <v>10</v>
      </c>
    </row>
    <row r="9" spans="1:2" ht="17" thickBot="1" x14ac:dyDescent="0.25">
      <c r="A9" s="45" t="s">
        <v>74</v>
      </c>
      <c r="B9" s="4">
        <v>2</v>
      </c>
    </row>
    <row r="10" spans="1:2" ht="17" thickBot="1" x14ac:dyDescent="0.25">
      <c r="A10" s="47" t="s">
        <v>70</v>
      </c>
      <c r="B10" s="48">
        <v>170965</v>
      </c>
    </row>
    <row r="12" spans="1:2" ht="17" thickBot="1" x14ac:dyDescent="0.25"/>
    <row r="13" spans="1:2" ht="17" thickBot="1" x14ac:dyDescent="0.25">
      <c r="A13" s="52">
        <v>2025</v>
      </c>
      <c r="B13" s="53"/>
    </row>
    <row r="14" spans="1:2" ht="17" thickBot="1" x14ac:dyDescent="0.25">
      <c r="A14" s="46" t="s">
        <v>67</v>
      </c>
      <c r="B14" s="49">
        <v>33</v>
      </c>
    </row>
    <row r="15" spans="1:2" ht="17" thickBot="1" x14ac:dyDescent="0.25">
      <c r="A15" s="44" t="s">
        <v>66</v>
      </c>
      <c r="B15" s="3">
        <v>8</v>
      </c>
    </row>
    <row r="16" spans="1:2" ht="17" thickBot="1" x14ac:dyDescent="0.25">
      <c r="A16" s="46" t="s">
        <v>68</v>
      </c>
      <c r="B16" s="49">
        <v>3</v>
      </c>
    </row>
    <row r="17" spans="1:3" ht="17" thickBot="1" x14ac:dyDescent="0.25">
      <c r="A17" s="45" t="s">
        <v>69</v>
      </c>
      <c r="B17" s="4">
        <v>6</v>
      </c>
    </row>
    <row r="18" spans="1:3" ht="17" thickBot="1" x14ac:dyDescent="0.25">
      <c r="A18" s="45" t="s">
        <v>72</v>
      </c>
      <c r="B18" s="4">
        <v>23</v>
      </c>
    </row>
    <row r="19" spans="1:3" ht="17" thickBot="1" x14ac:dyDescent="0.25">
      <c r="A19" s="45" t="s">
        <v>73</v>
      </c>
      <c r="B19" s="4">
        <v>8</v>
      </c>
    </row>
    <row r="20" spans="1:3" ht="17" thickBot="1" x14ac:dyDescent="0.25">
      <c r="A20" s="45" t="s">
        <v>74</v>
      </c>
      <c r="B20" s="4">
        <v>2</v>
      </c>
    </row>
    <row r="21" spans="1:3" ht="17" thickBot="1" x14ac:dyDescent="0.25">
      <c r="A21" s="47" t="s">
        <v>70</v>
      </c>
      <c r="B21" s="48">
        <v>152962.81</v>
      </c>
    </row>
    <row r="23" spans="1:3" ht="17" thickBot="1" x14ac:dyDescent="0.25"/>
    <row r="24" spans="1:3" ht="17" thickBot="1" x14ac:dyDescent="0.25">
      <c r="A24" s="52">
        <v>2026</v>
      </c>
      <c r="B24" s="53"/>
    </row>
    <row r="25" spans="1:3" ht="17" thickBot="1" x14ac:dyDescent="0.25">
      <c r="A25" s="46" t="s">
        <v>67</v>
      </c>
      <c r="B25" s="49">
        <v>21</v>
      </c>
    </row>
    <row r="26" spans="1:3" ht="17" thickBot="1" x14ac:dyDescent="0.25">
      <c r="A26" s="44" t="s">
        <v>66</v>
      </c>
      <c r="B26" s="3">
        <v>2</v>
      </c>
    </row>
    <row r="27" spans="1:3" ht="17" thickBot="1" x14ac:dyDescent="0.25">
      <c r="A27" s="46" t="s">
        <v>68</v>
      </c>
      <c r="B27" s="49">
        <v>0</v>
      </c>
      <c r="C27" s="51" t="s">
        <v>71</v>
      </c>
    </row>
    <row r="28" spans="1:3" ht="17" thickBot="1" x14ac:dyDescent="0.25">
      <c r="A28" s="45" t="s">
        <v>69</v>
      </c>
      <c r="B28" s="4">
        <v>0</v>
      </c>
      <c r="C28" s="50" t="s">
        <v>71</v>
      </c>
    </row>
    <row r="29" spans="1:3" ht="17" thickBot="1" x14ac:dyDescent="0.25">
      <c r="A29" s="45" t="s">
        <v>72</v>
      </c>
      <c r="B29" s="4">
        <v>12</v>
      </c>
    </row>
    <row r="30" spans="1:3" ht="17" thickBot="1" x14ac:dyDescent="0.25">
      <c r="A30" s="45" t="s">
        <v>75</v>
      </c>
      <c r="B30" s="4">
        <v>1</v>
      </c>
    </row>
    <row r="31" spans="1:3" ht="17" thickBot="1" x14ac:dyDescent="0.25">
      <c r="A31" s="45" t="s">
        <v>73</v>
      </c>
      <c r="B31" s="4">
        <v>7</v>
      </c>
    </row>
    <row r="32" spans="1:3" ht="17" thickBot="1" x14ac:dyDescent="0.25">
      <c r="A32" s="45" t="s">
        <v>74</v>
      </c>
      <c r="B32" s="4">
        <v>1</v>
      </c>
    </row>
    <row r="33" spans="1:2" ht="17" thickBot="1" x14ac:dyDescent="0.25">
      <c r="A33" s="47" t="s">
        <v>70</v>
      </c>
      <c r="B33" s="48">
        <v>95795</v>
      </c>
    </row>
  </sheetData>
  <mergeCells count="3">
    <mergeCell ref="A1:B1"/>
    <mergeCell ref="A13:B13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Residency Structure</vt:lpstr>
      <vt:lpstr>Residency Finances</vt:lpstr>
      <vt:lpstr>PREVIOUS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2026-08-05T13:11:07Z</dcterms:created>
  <dcterms:modified xsi:type="dcterms:W3CDTF">2026-09-03T18:35:21Z</dcterms:modified>
</cp:coreProperties>
</file>